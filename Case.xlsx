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OneXMM_SC\"/>
    </mc:Choice>
  </mc:AlternateContent>
  <xr:revisionPtr revIDLastSave="0" documentId="13_ncr:1_{B518A4E7-BD0F-4AAA-A7F4-1AE22877F44D}" xr6:coauthVersionLast="47" xr6:coauthVersionMax="47" xr10:uidLastSave="{00000000-0000-0000-0000-000000000000}"/>
  <bookViews>
    <workbookView xWindow="28680" yWindow="-120" windowWidth="29040" windowHeight="15720" xr2:uid="{BF406C8F-11B0-4C6A-9B13-E941C52145B0}"/>
  </bookViews>
  <sheets>
    <sheet name="Sheet1" sheetId="1" r:id="rId1"/>
  </sheets>
  <definedNames>
    <definedName name="solver_adj" localSheetId="0" hidden="1">Sheet1!$M$25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Sheet1!$O$25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K9" i="1" s="1"/>
  <c r="L9" i="1" s="1"/>
  <c r="O5" i="1"/>
  <c r="O6" i="1" s="1"/>
  <c r="R22" i="1" s="1"/>
  <c r="G13" i="1"/>
  <c r="F13" i="1"/>
  <c r="S22" i="1" l="1"/>
  <c r="S21" i="1"/>
  <c r="R21" i="1"/>
  <c r="O8" i="1"/>
  <c r="O7" i="1"/>
  <c r="O9" i="1"/>
  <c r="K5" i="1"/>
  <c r="K6" i="1"/>
  <c r="L6" i="1" s="1"/>
  <c r="L5" i="1"/>
  <c r="K13" i="1" s="1"/>
  <c r="L13" i="1" s="1"/>
  <c r="N13" i="1" s="1"/>
  <c r="K8" i="1"/>
  <c r="L8" i="1" s="1"/>
  <c r="K24" i="1" s="1"/>
  <c r="L24" i="1" s="1"/>
  <c r="K7" i="1"/>
  <c r="K25" i="1"/>
  <c r="L25" i="1" s="1"/>
  <c r="K17" i="1"/>
  <c r="L17" i="1" s="1"/>
  <c r="R23" i="1" l="1"/>
  <c r="S23" i="1"/>
  <c r="R24" i="1"/>
  <c r="S24" i="1"/>
  <c r="T32" i="1" s="1"/>
  <c r="R25" i="1"/>
  <c r="S25" i="1"/>
  <c r="K16" i="1"/>
  <c r="L16" i="1" s="1"/>
  <c r="N16" i="1" s="1"/>
  <c r="Q16" i="1" s="1"/>
  <c r="K21" i="1"/>
  <c r="L21" i="1" s="1"/>
  <c r="Q1" i="1"/>
  <c r="N24" i="1"/>
  <c r="Q24" i="1" s="1"/>
  <c r="T24" i="1" s="1"/>
  <c r="N25" i="1"/>
  <c r="Q25" i="1" s="1"/>
  <c r="T25" i="1" s="1"/>
  <c r="O13" i="1"/>
  <c r="Q13" i="1"/>
  <c r="K22" i="1"/>
  <c r="K14" i="1"/>
  <c r="L14" i="1" s="1"/>
  <c r="N17" i="1"/>
  <c r="Q17" i="1" s="1"/>
  <c r="L7" i="1"/>
  <c r="K23" i="1" s="1"/>
  <c r="T33" i="1" l="1"/>
  <c r="O16" i="1"/>
  <c r="N21" i="1"/>
  <c r="O21" i="1" s="1"/>
  <c r="O24" i="1"/>
  <c r="L23" i="1"/>
  <c r="N23" i="1" s="1"/>
  <c r="Q23" i="1" s="1"/>
  <c r="T23" i="1" s="1"/>
  <c r="K15" i="1"/>
  <c r="L15" i="1" s="1"/>
  <c r="N15" i="1" s="1"/>
  <c r="Q15" i="1" s="1"/>
  <c r="L22" i="1"/>
  <c r="N22" i="1" s="1"/>
  <c r="Q22" i="1" s="1"/>
  <c r="O25" i="1"/>
  <c r="O17" i="1"/>
  <c r="N14" i="1"/>
  <c r="Q14" i="1" s="1"/>
  <c r="T31" i="1" l="1"/>
  <c r="T22" i="1"/>
  <c r="T30" i="1"/>
  <c r="Q21" i="1"/>
  <c r="O15" i="1"/>
  <c r="O23" i="1"/>
  <c r="O22" i="1"/>
  <c r="O14" i="1"/>
  <c r="T29" i="1" l="1"/>
  <c r="T21" i="1"/>
  <c r="V21" i="1" l="1"/>
  <c r="V29" i="1" s="1"/>
  <c r="W29" i="1" s="1"/>
  <c r="V24" i="1"/>
  <c r="V32" i="1" s="1"/>
  <c r="W32" i="1" s="1"/>
  <c r="V25" i="1"/>
  <c r="V33" i="1" s="1"/>
  <c r="V23" i="1"/>
  <c r="V31" i="1" s="1"/>
  <c r="W31" i="1" s="1"/>
  <c r="V22" i="1"/>
  <c r="V30" i="1" s="1"/>
  <c r="W30" i="1" s="1"/>
</calcChain>
</file>

<file path=xl/sharedStrings.xml><?xml version="1.0" encoding="utf-8"?>
<sst xmlns="http://schemas.openxmlformats.org/spreadsheetml/2006/main" count="41" uniqueCount="24">
  <si>
    <t>vol</t>
  </si>
  <si>
    <t>Spot</t>
  </si>
  <si>
    <t>dt</t>
  </si>
  <si>
    <t>1D</t>
  </si>
  <si>
    <t>1W</t>
  </si>
  <si>
    <t>2W</t>
  </si>
  <si>
    <t>3W</t>
  </si>
  <si>
    <t>1M</t>
  </si>
  <si>
    <t>Expiries</t>
  </si>
  <si>
    <t>vol_sqrtT</t>
  </si>
  <si>
    <t>d1</t>
  </si>
  <si>
    <t>d2</t>
  </si>
  <si>
    <t>Call</t>
  </si>
  <si>
    <t>Put</t>
  </si>
  <si>
    <t>K_Call</t>
  </si>
  <si>
    <t>Calls</t>
  </si>
  <si>
    <t>Puts</t>
  </si>
  <si>
    <t>K_Put</t>
  </si>
  <si>
    <t>AccruedShortNotional</t>
  </si>
  <si>
    <t>AccruedLongNotional</t>
  </si>
  <si>
    <t>ShortDistr</t>
  </si>
  <si>
    <t>ShortTmp</t>
  </si>
  <si>
    <t>PayerDistr</t>
  </si>
  <si>
    <t>ReceiverDist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</si>
</sst>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0" formatCode="0.0000%"/>
    <numFmt numFmtId="177" formatCode="0.000"/>
    <numFmt numFmtId="178" formatCode="_-* #,##0.000_-;\-* #,##0.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vertical="center" wrapText="1"/>
    </xf>
    <xf numFmtId="3" fontId="0" fillId="0" borderId="0" xfId="0" applyNumberFormat="1"/>
    <xf numFmtId="3" fontId="3" fillId="0" borderId="1" xfId="0" applyNumberFormat="1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Border="1"/>
    <xf numFmtId="170" fontId="0" fillId="0" borderId="0" xfId="2" applyNumberFormat="1" applyFont="1"/>
    <xf numFmtId="177" fontId="0" fillId="0" borderId="0" xfId="0" applyNumberFormat="1"/>
    <xf numFmtId="178" fontId="0" fillId="0" borderId="0" xfId="1" applyNumberFormat="1" applyFon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2ABA-F2B6-4370-82FA-A6D26A5D0564}">
  <dimension ref="E1:X38"/>
  <sheetViews>
    <sheetView tabSelected="1" workbookViewId="0">
      <selection activeCell="H10" sqref="H10"/>
    </sheetView>
  </sheetViews>
  <sheetFormatPr defaultRowHeight="15" x14ac:dyDescent="0.25"/>
  <cols>
    <col min="8" max="9" width="12.7109375" bestFit="1" customWidth="1"/>
    <col min="15" max="15" width="12.7109375" bestFit="1" customWidth="1"/>
    <col min="18" max="18" width="16" bestFit="1" customWidth="1"/>
    <col min="19" max="19" width="16" customWidth="1"/>
    <col min="20" max="20" width="12" bestFit="1" customWidth="1"/>
    <col min="22" max="22" width="9.5703125" bestFit="1" customWidth="1"/>
    <col min="23" max="23" width="16" customWidth="1"/>
    <col min="24" max="24" width="12" bestFit="1" customWidth="1"/>
  </cols>
  <sheetData>
    <row r="1" spans="5:19" x14ac:dyDescent="0.25">
      <c r="J1" t="s">
        <v>1</v>
      </c>
      <c r="K1">
        <v>3580</v>
      </c>
      <c r="L1">
        <v>3580</v>
      </c>
      <c r="Q1">
        <f>K1*(1+0.1*K5)</f>
        <v>3580.9774162861486</v>
      </c>
    </row>
    <row r="3" spans="5:19" x14ac:dyDescent="0.25">
      <c r="J3" t="s">
        <v>0</v>
      </c>
      <c r="K3">
        <v>0.32</v>
      </c>
      <c r="N3" t="s">
        <v>2</v>
      </c>
      <c r="O3">
        <f>5/(365*24*60)</f>
        <v>9.5129375951293768E-6</v>
      </c>
    </row>
    <row r="4" spans="5:19" ht="15.75" thickBot="1" x14ac:dyDescent="0.3">
      <c r="J4" t="s">
        <v>8</v>
      </c>
      <c r="L4" t="s">
        <v>9</v>
      </c>
    </row>
    <row r="5" spans="5:19" ht="15.75" thickBot="1" x14ac:dyDescent="0.3">
      <c r="E5" s="1" t="s">
        <v>3</v>
      </c>
      <c r="F5" s="3">
        <v>100000</v>
      </c>
      <c r="G5" s="3">
        <v>100000</v>
      </c>
      <c r="J5" s="1" t="s">
        <v>3</v>
      </c>
      <c r="K5">
        <f>1/365-O3</f>
        <v>2.730213089802131E-3</v>
      </c>
      <c r="L5">
        <f>$K$3*SQRT(K5)</f>
        <v>1.6720461129877316E-2</v>
      </c>
      <c r="O5">
        <f>24*60</f>
        <v>1440</v>
      </c>
    </row>
    <row r="6" spans="5:19" ht="15.75" thickBot="1" x14ac:dyDescent="0.3">
      <c r="E6" s="1" t="s">
        <v>4</v>
      </c>
      <c r="F6" s="3">
        <v>65000</v>
      </c>
      <c r="G6" s="3">
        <v>50000</v>
      </c>
      <c r="J6" s="1" t="s">
        <v>4</v>
      </c>
      <c r="K6">
        <f>7/365-O3</f>
        <v>1.9168569254185693E-2</v>
      </c>
      <c r="L6">
        <f t="shared" ref="L6:L9" si="0">$K$3*SQRT(K6)</f>
        <v>4.4304192709365725E-2</v>
      </c>
      <c r="O6">
        <f>O5*7</f>
        <v>10080</v>
      </c>
    </row>
    <row r="7" spans="5:19" ht="15.75" thickBot="1" x14ac:dyDescent="0.3">
      <c r="E7" s="1" t="s">
        <v>5</v>
      </c>
      <c r="F7" s="3">
        <v>40000</v>
      </c>
      <c r="G7" s="3">
        <v>40000</v>
      </c>
      <c r="J7" s="1" t="s">
        <v>5</v>
      </c>
      <c r="K7">
        <f>2*K6-O3</f>
        <v>3.8327625570776257E-2</v>
      </c>
      <c r="L7">
        <f t="shared" si="0"/>
        <v>6.2647816070853499E-2</v>
      </c>
      <c r="O7">
        <f>O6*2</f>
        <v>20160</v>
      </c>
    </row>
    <row r="8" spans="5:19" ht="15.75" thickBot="1" x14ac:dyDescent="0.3">
      <c r="E8" s="1" t="s">
        <v>6</v>
      </c>
      <c r="F8" s="3">
        <v>25000</v>
      </c>
      <c r="G8" s="3">
        <v>75000</v>
      </c>
      <c r="J8" s="1" t="s">
        <v>6</v>
      </c>
      <c r="K8">
        <f>3*K6-O3</f>
        <v>5.7496194824961946E-2</v>
      </c>
      <c r="L8">
        <f t="shared" si="0"/>
        <v>7.6730765342697474E-2</v>
      </c>
      <c r="O8">
        <f>O6*3</f>
        <v>30240</v>
      </c>
    </row>
    <row r="9" spans="5:19" ht="15.75" thickBot="1" x14ac:dyDescent="0.3">
      <c r="E9" s="1" t="s">
        <v>7</v>
      </c>
      <c r="F9" s="1">
        <v>0</v>
      </c>
      <c r="G9" s="3">
        <v>25000</v>
      </c>
      <c r="J9" s="1" t="s">
        <v>7</v>
      </c>
      <c r="K9">
        <f>30/365-O3</f>
        <v>8.2182267884322674E-2</v>
      </c>
      <c r="L9">
        <f t="shared" si="0"/>
        <v>9.1735839405080066E-2</v>
      </c>
      <c r="O9">
        <f>30*O5</f>
        <v>43200</v>
      </c>
    </row>
    <row r="11" spans="5:19" x14ac:dyDescent="0.25">
      <c r="J11" s="4" t="s">
        <v>15</v>
      </c>
    </row>
    <row r="12" spans="5:19" ht="15.75" thickBot="1" x14ac:dyDescent="0.3">
      <c r="K12" t="s">
        <v>10</v>
      </c>
      <c r="L12" t="s">
        <v>11</v>
      </c>
      <c r="M12" t="s">
        <v>14</v>
      </c>
      <c r="N12" t="s">
        <v>12</v>
      </c>
    </row>
    <row r="13" spans="5:19" ht="15.75" thickBot="1" x14ac:dyDescent="0.3">
      <c r="F13" s="2">
        <f>SUM(F5:F9)</f>
        <v>230000</v>
      </c>
      <c r="G13" s="2">
        <f>SUM(G5:G9)</f>
        <v>290000</v>
      </c>
      <c r="J13" s="1" t="s">
        <v>3</v>
      </c>
      <c r="K13">
        <f>LN($K$1*(1+0.1*K5)/M13)/L5+0.5*L5</f>
        <v>-0.57232828376658074</v>
      </c>
      <c r="L13">
        <f>K13-L5</f>
        <v>-0.58904874489645809</v>
      </c>
      <c r="M13" s="5">
        <v>3615.9158265043347</v>
      </c>
      <c r="N13">
        <f>$K$1*_xlfn.NORM.S.DIST(K13,TRUE)-M13/(1+0.1*K5)*_xlfn.NORM.S.DIST(L13,TRUE)</f>
        <v>10.467886813530981</v>
      </c>
      <c r="O13">
        <f>M13-N13-$K$1</f>
        <v>25.447939690803651</v>
      </c>
      <c r="Q13" s="6">
        <f>N13/M13</f>
        <v>2.8949475916453366E-3</v>
      </c>
      <c r="R13" s="6"/>
      <c r="S13" s="6"/>
    </row>
    <row r="14" spans="5:19" ht="15.75" thickBot="1" x14ac:dyDescent="0.3">
      <c r="J14" s="1" t="s">
        <v>4</v>
      </c>
      <c r="K14">
        <f t="shared" ref="K14:K17" si="1">LN($K$1*(1+0.1*K6)/M14)/L6+0.5*L6</f>
        <v>-0.33131044787397174</v>
      </c>
      <c r="L14">
        <f>K14-L6</f>
        <v>-0.37561464058333749</v>
      </c>
      <c r="M14" s="5">
        <v>3643.4742662653402</v>
      </c>
      <c r="N14">
        <f t="shared" ref="N14:N17" si="2">$K$1*_xlfn.NORM.S.DIST(K14,TRUE)-M14/(1+0.1*K6)*_xlfn.NORM.S.DIST(L14,TRUE)</f>
        <v>39.460033359542876</v>
      </c>
      <c r="O14">
        <f t="shared" ref="O14:O17" si="3">M14-N14-$K$1</f>
        <v>24.014232905797144</v>
      </c>
      <c r="Q14" s="6">
        <f t="shared" ref="Q14:Q17" si="4">N14/M14</f>
        <v>1.0830331292552391E-2</v>
      </c>
      <c r="R14" s="6"/>
      <c r="S14" s="6"/>
    </row>
    <row r="15" spans="5:19" ht="15.75" thickBot="1" x14ac:dyDescent="0.3">
      <c r="J15" s="1" t="s">
        <v>5</v>
      </c>
      <c r="K15">
        <f t="shared" si="1"/>
        <v>-0.2724734555098326</v>
      </c>
      <c r="L15">
        <f>K15-L7</f>
        <v>-0.33512127158068611</v>
      </c>
      <c r="M15" s="5">
        <v>3662.7728798211742</v>
      </c>
      <c r="N15">
        <f t="shared" si="2"/>
        <v>60.059951333880917</v>
      </c>
      <c r="O15">
        <f t="shared" si="3"/>
        <v>22.712928487293539</v>
      </c>
      <c r="Q15" s="6">
        <f t="shared" si="4"/>
        <v>1.6397399812792431E-2</v>
      </c>
      <c r="R15" s="6"/>
      <c r="S15" s="6"/>
    </row>
    <row r="16" spans="5:19" ht="15.75" thickBot="1" x14ac:dyDescent="0.3">
      <c r="J16" s="1" t="s">
        <v>6</v>
      </c>
      <c r="K16">
        <f t="shared" si="1"/>
        <v>-0.23921039309386929</v>
      </c>
      <c r="L16">
        <f>K16-L8</f>
        <v>-0.31594115843656678</v>
      </c>
      <c r="M16" s="5">
        <v>3678.0935307106879</v>
      </c>
      <c r="N16">
        <f t="shared" si="2"/>
        <v>76.443609059041819</v>
      </c>
      <c r="O16">
        <f t="shared" si="3"/>
        <v>21.649921651645855</v>
      </c>
      <c r="Q16" s="6">
        <f t="shared" si="4"/>
        <v>2.0783486994217695E-2</v>
      </c>
      <c r="R16" s="6"/>
      <c r="S16" s="6"/>
    </row>
    <row r="17" spans="10:24" ht="15.75" thickBot="1" x14ac:dyDescent="0.3">
      <c r="J17" s="1" t="s">
        <v>7</v>
      </c>
      <c r="K17">
        <f>LN($K$1*(1+0.1*K9)/M17)/L9+0.5*L9</f>
        <v>-0.21135701426106243</v>
      </c>
      <c r="L17">
        <f>K17-L9</f>
        <v>-0.30309285366614247</v>
      </c>
      <c r="M17" s="5">
        <v>3695.6046707925962</v>
      </c>
      <c r="N17">
        <f>$K$1*_xlfn.NORM.S.DIST(K17,TRUE)-M17/(1+0.1*K9)*_xlfn.NORM.S.DIST(L17,TRUE)</f>
        <v>94.152880081602916</v>
      </c>
      <c r="O17">
        <f t="shared" si="3"/>
        <v>21.451790710993009</v>
      </c>
      <c r="Q17" s="6">
        <f t="shared" si="4"/>
        <v>2.5476989144894102E-2</v>
      </c>
      <c r="R17" s="6"/>
      <c r="S17" s="6"/>
    </row>
    <row r="19" spans="10:24" x14ac:dyDescent="0.25">
      <c r="J19" s="4" t="s">
        <v>16</v>
      </c>
    </row>
    <row r="20" spans="10:24" ht="15.75" thickBot="1" x14ac:dyDescent="0.3">
      <c r="K20" t="s">
        <v>10</v>
      </c>
      <c r="L20" t="s">
        <v>11</v>
      </c>
      <c r="M20" t="s">
        <v>17</v>
      </c>
      <c r="N20" t="s">
        <v>13</v>
      </c>
      <c r="R20" t="s">
        <v>18</v>
      </c>
      <c r="S20" t="s">
        <v>19</v>
      </c>
      <c r="T20" t="s">
        <v>21</v>
      </c>
      <c r="V20" t="s">
        <v>20</v>
      </c>
    </row>
    <row r="21" spans="10:24" ht="15.75" thickBot="1" x14ac:dyDescent="0.3">
      <c r="J21" s="1" t="s">
        <v>3</v>
      </c>
      <c r="K21">
        <f>LN($K$1*(1+0.1*K5)/M21)/L5+0.5*L5</f>
        <v>-8.0182277060367624E-2</v>
      </c>
      <c r="L21">
        <f>K21-L5</f>
        <v>-9.6902738190244947E-2</v>
      </c>
      <c r="M21">
        <v>3586.2828778209537</v>
      </c>
      <c r="N21">
        <f>-$K$1*_xlfn.NORM.S.DIST(-K21,TRUE)+M21/(1+0.1*K5)*_xlfn.NORM.S.DIST(-L21,TRUE)</f>
        <v>26.643417904667785</v>
      </c>
      <c r="O21">
        <f>N21-N13</f>
        <v>16.175531091136804</v>
      </c>
      <c r="Q21" s="6">
        <f>N21/M21</f>
        <v>7.4292572037308116E-3</v>
      </c>
      <c r="R21">
        <f>F5*5/O5</f>
        <v>347.22222222222223</v>
      </c>
      <c r="S21">
        <f>G5*5/O5</f>
        <v>347.22222222222223</v>
      </c>
      <c r="T21">
        <f>R21*Q21</f>
        <v>2.5796031957398653</v>
      </c>
      <c r="V21" s="6">
        <f>T21/SUM($T$21:$T$25)</f>
        <v>0.75752310147578128</v>
      </c>
    </row>
    <row r="22" spans="10:24" ht="15.75" thickBot="1" x14ac:dyDescent="0.3">
      <c r="J22" s="1" t="s">
        <v>4</v>
      </c>
      <c r="K22">
        <f t="shared" ref="K22:K25" si="5">LN($K$1*(1+0.1*K6)/M22)/L6+0.5*L6</f>
        <v>0.11739916062872648</v>
      </c>
      <c r="L22">
        <f t="shared" ref="L22:L25" si="6">K22-L6</f>
        <v>7.3094967919360751E-2</v>
      </c>
      <c r="M22">
        <v>3571.758238102364</v>
      </c>
      <c r="N22">
        <f t="shared" ref="N22:N25" si="7">-$K$1*_xlfn.NORM.S.DIST(-K22,TRUE)+M22/(1+0.1*K6)*_xlfn.NORM.S.DIST(-L22,TRUE)</f>
        <v>55.885972095927855</v>
      </c>
      <c r="O22">
        <f t="shared" ref="O22:O25" si="8">N22-N14</f>
        <v>16.425938736384978</v>
      </c>
      <c r="Q22" s="6">
        <f t="shared" ref="Q22:Q25" si="9">N22/M22</f>
        <v>1.5646627898762672E-2</v>
      </c>
      <c r="R22">
        <f>F6*5/O6</f>
        <v>32.242063492063494</v>
      </c>
      <c r="S22">
        <f t="shared" ref="S22:S25" si="10">G6*5/O6</f>
        <v>24.801587301587301</v>
      </c>
      <c r="T22">
        <f t="shared" ref="T22:T25" si="11">R22*Q22</f>
        <v>0.50447957014859812</v>
      </c>
      <c r="V22" s="6">
        <f t="shared" ref="V22:V25" si="12">T22/SUM($T$21:$T$25)</f>
        <v>0.14814485004563957</v>
      </c>
    </row>
    <row r="23" spans="10:24" ht="15.75" thickBot="1" x14ac:dyDescent="0.3">
      <c r="J23" s="1" t="s">
        <v>5</v>
      </c>
      <c r="K23">
        <f t="shared" si="5"/>
        <v>0.14825927742315001</v>
      </c>
      <c r="L23">
        <f t="shared" si="6"/>
        <v>8.5611461352296511E-2</v>
      </c>
      <c r="M23">
        <v>3567.490798597807</v>
      </c>
      <c r="N23">
        <f t="shared" si="7"/>
        <v>76.676669205673079</v>
      </c>
      <c r="O23">
        <f t="shared" si="8"/>
        <v>16.616717871792162</v>
      </c>
      <c r="Q23" s="6">
        <f t="shared" si="9"/>
        <v>2.149316523417822E-2</v>
      </c>
      <c r="R23">
        <f t="shared" ref="R23:R25" si="13">F7*5/O7</f>
        <v>9.9206349206349209</v>
      </c>
      <c r="S23">
        <f t="shared" si="10"/>
        <v>9.9206349206349209</v>
      </c>
      <c r="T23">
        <f t="shared" si="11"/>
        <v>0.2132258455771649</v>
      </c>
      <c r="V23" s="6">
        <f t="shared" si="12"/>
        <v>6.2615639538344897E-2</v>
      </c>
    </row>
    <row r="24" spans="10:24" ht="15.75" thickBot="1" x14ac:dyDescent="0.3">
      <c r="J24" s="1" t="s">
        <v>6</v>
      </c>
      <c r="K24">
        <f>LN($K$1*(1+0.1*K8)/M24)/L8+0.5*L8</f>
        <v>0.16021147635580285</v>
      </c>
      <c r="L24">
        <f t="shared" si="6"/>
        <v>8.3480711013105377E-2</v>
      </c>
      <c r="M24">
        <v>3567.0774172926699</v>
      </c>
      <c r="N24">
        <f t="shared" si="7"/>
        <v>93.202023713221251</v>
      </c>
      <c r="O24">
        <f t="shared" si="8"/>
        <v>16.758414654179433</v>
      </c>
      <c r="Q24" s="6">
        <f t="shared" si="9"/>
        <v>2.6128399473863802E-2</v>
      </c>
      <c r="R24">
        <f t="shared" si="13"/>
        <v>4.1335978835978837</v>
      </c>
      <c r="S24">
        <f t="shared" si="10"/>
        <v>12.40079365079365</v>
      </c>
      <c r="T24">
        <f t="shared" si="11"/>
        <v>0.10800429676696348</v>
      </c>
      <c r="V24" s="6">
        <f t="shared" si="12"/>
        <v>3.1716408940234316E-2</v>
      </c>
    </row>
    <row r="25" spans="10:24" ht="15.75" thickBot="1" x14ac:dyDescent="0.3">
      <c r="J25" s="1" t="s">
        <v>7</v>
      </c>
      <c r="K25">
        <f t="shared" si="5"/>
        <v>0.16719478610618482</v>
      </c>
      <c r="L25">
        <f t="shared" si="6"/>
        <v>7.5458946701104757E-2</v>
      </c>
      <c r="M25">
        <v>3569.4710499291305</v>
      </c>
      <c r="N25">
        <f t="shared" si="7"/>
        <v>111.39210250225824</v>
      </c>
      <c r="O25">
        <f t="shared" si="8"/>
        <v>17.239222420655324</v>
      </c>
      <c r="Q25" s="6">
        <f t="shared" si="9"/>
        <v>3.1206893386758201E-2</v>
      </c>
      <c r="R25">
        <f t="shared" si="13"/>
        <v>0</v>
      </c>
      <c r="S25">
        <f t="shared" si="10"/>
        <v>2.8935185185185186</v>
      </c>
      <c r="T25">
        <f t="shared" si="11"/>
        <v>0</v>
      </c>
      <c r="V25" s="6">
        <f t="shared" si="12"/>
        <v>0</v>
      </c>
    </row>
    <row r="26" spans="10:24" x14ac:dyDescent="0.25">
      <c r="T26" s="6"/>
      <c r="U26" s="6"/>
    </row>
    <row r="28" spans="10:24" x14ac:dyDescent="0.25">
      <c r="T28" s="6" t="s">
        <v>22</v>
      </c>
      <c r="V28" s="7" t="s">
        <v>23</v>
      </c>
      <c r="W28" s="8"/>
      <c r="X28" s="9"/>
    </row>
    <row r="29" spans="10:24" x14ac:dyDescent="0.25">
      <c r="T29">
        <f>S21*Q21</f>
        <v>2.5796031957398653</v>
      </c>
      <c r="V29" s="7">
        <f>SUM($T$29:$T$33)*V21</f>
        <v>2.7234477084291715</v>
      </c>
      <c r="W29" s="8">
        <f>V29/F5*10000</f>
        <v>0.27234477084291714</v>
      </c>
    </row>
    <row r="30" spans="10:24" x14ac:dyDescent="0.25">
      <c r="T30">
        <f t="shared" ref="T30:T33" si="14">S22*Q22</f>
        <v>0.38806120780661385</v>
      </c>
      <c r="V30" s="7">
        <f t="shared" ref="V30:V33" si="15">SUM($T$29:$T$33)*V22</f>
        <v>0.53261049278413253</v>
      </c>
      <c r="W30" s="8">
        <f t="shared" ref="W30:W32" si="16">V30/F6*10000</f>
        <v>8.1940075812943464E-2</v>
      </c>
      <c r="X30" s="9"/>
    </row>
    <row r="31" spans="10:24" x14ac:dyDescent="0.25">
      <c r="T31">
        <f t="shared" si="14"/>
        <v>0.2132258455771649</v>
      </c>
      <c r="V31" s="7">
        <f t="shared" si="15"/>
        <v>0.22511580132712883</v>
      </c>
      <c r="W31" s="8">
        <f t="shared" si="16"/>
        <v>5.6278950331782207E-2</v>
      </c>
    </row>
    <row r="32" spans="10:24" x14ac:dyDescent="0.25">
      <c r="T32">
        <f t="shared" si="14"/>
        <v>0.32401289030089037</v>
      </c>
      <c r="V32" s="7">
        <f t="shared" si="15"/>
        <v>0.11402686080411928</v>
      </c>
      <c r="W32" s="8">
        <f t="shared" si="16"/>
        <v>4.5610744321647717E-2</v>
      </c>
    </row>
    <row r="33" spans="20:22" x14ac:dyDescent="0.25">
      <c r="T33">
        <f t="shared" si="14"/>
        <v>9.0297723920017947E-2</v>
      </c>
      <c r="V33" s="7">
        <f t="shared" si="15"/>
        <v>0</v>
      </c>
    </row>
    <row r="34" spans="20:22" x14ac:dyDescent="0.25">
      <c r="V34" s="7"/>
    </row>
    <row r="35" spans="20:22" x14ac:dyDescent="0.25">
      <c r="V35" s="7"/>
    </row>
    <row r="36" spans="20:22" x14ac:dyDescent="0.25">
      <c r="V36" s="7"/>
    </row>
    <row r="37" spans="20:22" x14ac:dyDescent="0.25">
      <c r="V37" s="7"/>
    </row>
    <row r="38" spans="20:22" x14ac:dyDescent="0.25">
      <c r="V38" s="7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delaroche</dc:creator>
  <cp:lastModifiedBy>frédéric delaroche</cp:lastModifiedBy>
  <dcterms:created xsi:type="dcterms:W3CDTF">2024-12-13T10:59:12Z</dcterms:created>
  <dcterms:modified xsi:type="dcterms:W3CDTF">2024-12-18T12:54:22Z</dcterms:modified>
</cp:coreProperties>
</file>